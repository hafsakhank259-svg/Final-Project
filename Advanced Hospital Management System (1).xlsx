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 Information" sheetId="1" r:id="rId5"/>
    <sheet state="visible" name="Appointments" sheetId="2" r:id="rId6"/>
    <sheet state="visible" name="Billing" sheetId="3" r:id="rId7"/>
    <sheet state="visible" name="Daily Revenue Summary" sheetId="4" r:id="rId8"/>
    <sheet state="visible" name="Doctor-wise Performance Dashboa" sheetId="5" r:id="rId9"/>
  </sheets>
  <definedNames/>
  <calcPr/>
</workbook>
</file>

<file path=xl/sharedStrings.xml><?xml version="1.0" encoding="utf-8"?>
<sst xmlns="http://schemas.openxmlformats.org/spreadsheetml/2006/main" count="95" uniqueCount="70">
  <si>
    <t>Doctor ID</t>
  </si>
  <si>
    <t>Doctor Name</t>
  </si>
  <si>
    <t>Department</t>
  </si>
  <si>
    <t>Consultation Fee</t>
  </si>
  <si>
    <t>D01</t>
  </si>
  <si>
    <t>Dr. Ali Khan</t>
  </si>
  <si>
    <t>Cardiology</t>
  </si>
  <si>
    <t>D02</t>
  </si>
  <si>
    <t>Dr. Sara Ahmed</t>
  </si>
  <si>
    <t>Neurology</t>
  </si>
  <si>
    <t>D03</t>
  </si>
  <si>
    <t>Dr. Usman Malik</t>
  </si>
  <si>
    <t>Orthopedic</t>
  </si>
  <si>
    <t>D04</t>
  </si>
  <si>
    <t>Dr. Hina Tariq</t>
  </si>
  <si>
    <t>Pediatrics</t>
  </si>
  <si>
    <t>D05</t>
  </si>
  <si>
    <t>Dr. Bilal Sheikh</t>
  </si>
  <si>
    <t>Dermatology</t>
  </si>
  <si>
    <t>D06</t>
  </si>
  <si>
    <t>Dr. Ayesha Noor</t>
  </si>
  <si>
    <t>Gynecology</t>
  </si>
  <si>
    <t>D07</t>
  </si>
  <si>
    <t>Dr. Hamza Qureshi</t>
  </si>
  <si>
    <t>ENT</t>
  </si>
  <si>
    <t>D08</t>
  </si>
  <si>
    <t>Dr. Fatima Zahra</t>
  </si>
  <si>
    <t>Ophthalmology</t>
  </si>
  <si>
    <t>D09</t>
  </si>
  <si>
    <t>Dr. Imran Shah</t>
  </si>
  <si>
    <t>General Physician</t>
  </si>
  <si>
    <t>D10</t>
  </si>
  <si>
    <t>Dr. Sana Iqbal</t>
  </si>
  <si>
    <t>Psychiatry</t>
  </si>
  <si>
    <t>Appointment ID</t>
  </si>
  <si>
    <t>Patient Name</t>
  </si>
  <si>
    <t>Appointment Date</t>
  </si>
  <si>
    <t>Appointment Time</t>
  </si>
  <si>
    <t>Arrival Time</t>
  </si>
  <si>
    <t>Delay (mins)</t>
  </si>
  <si>
    <t>Status</t>
  </si>
  <si>
    <t>APT1023</t>
  </si>
  <si>
    <t>Ali Raza</t>
  </si>
  <si>
    <t>APT1047</t>
  </si>
  <si>
    <t>Sara Khan</t>
  </si>
  <si>
    <t>APT1091</t>
  </si>
  <si>
    <t>Ahmed Malik</t>
  </si>
  <si>
    <t>APT1105</t>
  </si>
  <si>
    <t>Hina Sheikh</t>
  </si>
  <si>
    <t>APT1132</t>
  </si>
  <si>
    <t>Usman Tariq</t>
  </si>
  <si>
    <t>APT1159</t>
  </si>
  <si>
    <t>Ayesha Iqbal</t>
  </si>
  <si>
    <t>APT1184</t>
  </si>
  <si>
    <t>Bilal Hussain</t>
  </si>
  <si>
    <t>APT1201</t>
  </si>
  <si>
    <t>Fatima Noor</t>
  </si>
  <si>
    <t>APT1236</t>
  </si>
  <si>
    <t>Hamza Ali</t>
  </si>
  <si>
    <t>APT1260</t>
  </si>
  <si>
    <t>Zainab Shah</t>
  </si>
  <si>
    <t>1:30:</t>
  </si>
  <si>
    <t xml:space="preserve">Appointment ID  </t>
  </si>
  <si>
    <t xml:space="preserve">Patient Name </t>
  </si>
  <si>
    <t xml:space="preserve">   Doctor ID</t>
  </si>
  <si>
    <t xml:space="preserve"> Doctor Fee  </t>
  </si>
  <si>
    <t xml:space="preserve"> Total Bill </t>
  </si>
  <si>
    <t>Date</t>
  </si>
  <si>
    <t>Total Patients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</si>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</sst>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5">
    <tableStyle count="4" pivot="0" name="Doctors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Revenue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tor-wise Performance Dashbo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Doctor ID" id="1"/>
    <tableColumn name="Doctor Name" id="2"/>
    <tableColumn name="Department" id="3"/>
    <tableColumn name="Consultation Fee" id="4"/>
  </tableColumns>
  <tableStyleInfo name="Doctors Information-style" showColumnStripes="0" showFirstColumn="1" showLastColumn="1" showRowStripes="1"/>
</table>
</file>

<file path=xl/tables/table2.xml><?xml version="1.0" encoding="utf-8"?>
<table xmlns="http://schemas.openxmlformats.org/spreadsheetml/2006/main" ref="A1:H11" displayName="Table2" name="Table2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" id="7"/>
    <tableColumn name="Status" id="8"/>
  </tableColumns>
  <tableStyleInfo name="Appointments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3" name="Table3" id="3">
  <tableColumns count="6">
    <tableColumn name="Appointment ID  " id="1"/>
    <tableColumn name="Appointment Date" id="2"/>
    <tableColumn name="Patient Name " id="3"/>
    <tableColumn name="   Doctor ID" id="4"/>
    <tableColumn name=" Doctor Fee  " id="5"/>
    <tableColumn name=" Total Bill " id="6"/>
  </tableColumns>
  <tableStyleInfo name="Billing-style" showColumnStripes="0" showFirstColumn="1" showLastColumn="1" showRowStripes="1"/>
</table>
</file>

<file path=xl/tables/table4.xml><?xml version="1.0" encoding="utf-8"?>
<table xmlns="http://schemas.openxmlformats.org/spreadsheetml/2006/main" ref="A1:C11" displayName="Table4" name="Table4" id="4">
  <tableColumns count="3">
    <tableColumn name="Date" id="1"/>
    <tableColumn name="Total Patients" id="2"/>
    <tableColumn name="Total Revenue" id="3"/>
  </tableColumns>
  <tableStyleInfo name="Daily Revenue Summary-style" showColumnStripes="0" showFirstColumn="1" showLastColumn="1" showRowStripes="1"/>
</table>
</file>

<file path=xl/tables/table5.xml><?xml version="1.0" encoding="utf-8"?>
<table xmlns="http://schemas.openxmlformats.org/spreadsheetml/2006/main" ref="A1:C11" displayName="Table5" name="Table5" id="5">
  <tableColumns count="3">
    <tableColumn name="Doctor Name" id="1"/>
    <tableColumn name="Total Patients" id="2"/>
    <tableColumn name="Total Revenue" id="3"/>
  </tableColumns>
  <tableStyleInfo name="Doctor-wise Performance Dashbo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15.5"/>
    <col customWidth="1" min="4" max="4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1" t="s">
        <v>4</v>
      </c>
      <c r="B2" s="1" t="s">
        <v>5</v>
      </c>
      <c r="C2" s="1" t="s">
        <v>6</v>
      </c>
      <c r="D2" s="2">
        <v>200.0</v>
      </c>
    </row>
    <row r="3" ht="22.5" customHeight="1">
      <c r="A3" s="1" t="s">
        <v>7</v>
      </c>
      <c r="B3" s="1" t="s">
        <v>8</v>
      </c>
      <c r="C3" s="1" t="s">
        <v>9</v>
      </c>
      <c r="D3" s="2">
        <v>250.0</v>
      </c>
    </row>
    <row r="4" ht="22.5" customHeight="1">
      <c r="A4" s="1" t="s">
        <v>10</v>
      </c>
      <c r="B4" s="1" t="s">
        <v>11</v>
      </c>
      <c r="C4" s="1" t="s">
        <v>12</v>
      </c>
      <c r="D4" s="2">
        <v>220.0</v>
      </c>
    </row>
    <row r="5" ht="22.5" customHeight="1">
      <c r="A5" s="1" t="s">
        <v>13</v>
      </c>
      <c r="B5" s="1" t="s">
        <v>14</v>
      </c>
      <c r="C5" s="1" t="s">
        <v>15</v>
      </c>
      <c r="D5" s="2">
        <v>180.0</v>
      </c>
    </row>
    <row r="6" ht="22.5" customHeight="1">
      <c r="A6" s="1" t="s">
        <v>16</v>
      </c>
      <c r="B6" s="1" t="s">
        <v>17</v>
      </c>
      <c r="C6" s="1" t="s">
        <v>18</v>
      </c>
      <c r="D6" s="2">
        <v>210.0</v>
      </c>
    </row>
    <row r="7" ht="22.5" customHeight="1">
      <c r="A7" s="1" t="s">
        <v>19</v>
      </c>
      <c r="B7" s="1" t="s">
        <v>20</v>
      </c>
      <c r="C7" s="1" t="s">
        <v>21</v>
      </c>
      <c r="D7" s="2">
        <v>230.0</v>
      </c>
    </row>
    <row r="8" ht="22.5" customHeight="1">
      <c r="A8" s="1" t="s">
        <v>22</v>
      </c>
      <c r="B8" s="1" t="s">
        <v>23</v>
      </c>
      <c r="C8" s="1" t="s">
        <v>24</v>
      </c>
      <c r="D8" s="2">
        <v>190.0</v>
      </c>
    </row>
    <row r="9" ht="22.5" customHeight="1">
      <c r="A9" s="1" t="s">
        <v>25</v>
      </c>
      <c r="B9" s="1" t="s">
        <v>26</v>
      </c>
      <c r="C9" s="1" t="s">
        <v>27</v>
      </c>
      <c r="D9" s="2">
        <v>205.0</v>
      </c>
    </row>
    <row r="10" ht="22.5" customHeight="1">
      <c r="A10" s="1" t="s">
        <v>28</v>
      </c>
      <c r="B10" s="1" t="s">
        <v>29</v>
      </c>
      <c r="C10" s="1" t="s">
        <v>30</v>
      </c>
      <c r="D10" s="2">
        <v>170.0</v>
      </c>
    </row>
    <row r="11" ht="22.5" customHeight="1">
      <c r="A11" s="1" t="s">
        <v>31</v>
      </c>
      <c r="B11" s="1" t="s">
        <v>32</v>
      </c>
      <c r="C11" s="1" t="s">
        <v>33</v>
      </c>
      <c r="D11" s="2">
        <v>240.0</v>
      </c>
    </row>
  </sheetData>
  <dataValidations>
    <dataValidation type="custom" allowBlank="1" showDropDown="1" sqref="D2:D1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5.63"/>
    <col customWidth="1" min="3" max="3" width="15.75"/>
    <col customWidth="1" min="4" max="4" width="19.0"/>
    <col customWidth="1" min="5" max="5" width="22.63"/>
    <col customWidth="1" min="6" max="6" width="14.63"/>
    <col customWidth="1" min="7" max="7" width="14.88"/>
  </cols>
  <sheetData>
    <row r="1" ht="22.5" customHeight="1">
      <c r="A1" s="3" t="s">
        <v>34</v>
      </c>
      <c r="B1" s="4" t="s">
        <v>35</v>
      </c>
      <c r="C1" s="3" t="s">
        <v>0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ht="22.5" customHeight="1">
      <c r="A2" s="5" t="s">
        <v>41</v>
      </c>
      <c r="B2" s="1" t="s">
        <v>42</v>
      </c>
      <c r="C2" s="6" t="s">
        <v>4</v>
      </c>
      <c r="D2" s="7">
        <v>46024.0</v>
      </c>
      <c r="E2" s="8">
        <v>0.375</v>
      </c>
      <c r="F2" s="9">
        <v>0.375</v>
      </c>
      <c r="G2" s="10">
        <f t="shared" ref="G2:G11" si="1">IF(OR(E2="",F2=""),"",MAX(0,(F2-E2)*1440))</f>
        <v>0</v>
      </c>
      <c r="H2" s="10" t="str">
        <f t="shared" ref="H2:H11" si="2">IF(OR(E2="",F2=""),"Missed",IF(G2=0,"On Time","Late"))</f>
        <v>On Time</v>
      </c>
    </row>
    <row r="3" ht="22.5" customHeight="1">
      <c r="A3" s="5" t="s">
        <v>43</v>
      </c>
      <c r="B3" s="1" t="s">
        <v>44</v>
      </c>
      <c r="C3" s="6" t="s">
        <v>7</v>
      </c>
      <c r="D3" s="7">
        <v>46025.0</v>
      </c>
      <c r="E3" s="8">
        <v>0.3958333333333333</v>
      </c>
      <c r="F3" s="9">
        <v>0.4027777777777778</v>
      </c>
      <c r="G3" s="10">
        <f t="shared" si="1"/>
        <v>10</v>
      </c>
      <c r="H3" s="10" t="str">
        <f t="shared" si="2"/>
        <v>Late</v>
      </c>
    </row>
    <row r="4" ht="22.5" customHeight="1">
      <c r="A4" s="5" t="s">
        <v>45</v>
      </c>
      <c r="B4" s="1" t="s">
        <v>46</v>
      </c>
      <c r="C4" s="6" t="s">
        <v>10</v>
      </c>
      <c r="D4" s="7">
        <v>46026.0</v>
      </c>
      <c r="E4" s="8">
        <v>0.4166666666666667</v>
      </c>
      <c r="F4" s="9">
        <v>0.4201388888888889</v>
      </c>
      <c r="G4" s="10">
        <f t="shared" si="1"/>
        <v>5</v>
      </c>
      <c r="H4" s="10" t="str">
        <f t="shared" si="2"/>
        <v>Late</v>
      </c>
    </row>
    <row r="5" ht="22.5" customHeight="1">
      <c r="A5" s="5" t="s">
        <v>47</v>
      </c>
      <c r="B5" s="1" t="s">
        <v>48</v>
      </c>
      <c r="C5" s="6" t="s">
        <v>13</v>
      </c>
      <c r="D5" s="7">
        <v>46027.0</v>
      </c>
      <c r="E5" s="8">
        <v>0.4375</v>
      </c>
      <c r="F5" s="9">
        <v>0.4375</v>
      </c>
      <c r="G5" s="10">
        <f t="shared" si="1"/>
        <v>0</v>
      </c>
      <c r="H5" s="10" t="str">
        <f t="shared" si="2"/>
        <v>On Time</v>
      </c>
    </row>
    <row r="6" ht="22.5" customHeight="1">
      <c r="A6" s="5" t="s">
        <v>49</v>
      </c>
      <c r="B6" s="1" t="s">
        <v>50</v>
      </c>
      <c r="C6" s="6" t="s">
        <v>16</v>
      </c>
      <c r="D6" s="7">
        <v>46028.0</v>
      </c>
      <c r="E6" s="8">
        <v>0.4583333333333333</v>
      </c>
      <c r="F6" s="9">
        <v>0.46875</v>
      </c>
      <c r="G6" s="10">
        <f t="shared" si="1"/>
        <v>15</v>
      </c>
      <c r="H6" s="10" t="str">
        <f t="shared" si="2"/>
        <v>Late</v>
      </c>
    </row>
    <row r="7" ht="22.5" customHeight="1">
      <c r="A7" s="5" t="s">
        <v>51</v>
      </c>
      <c r="B7" s="1" t="s">
        <v>52</v>
      </c>
      <c r="C7" s="6" t="s">
        <v>19</v>
      </c>
      <c r="D7" s="7">
        <v>46029.0</v>
      </c>
      <c r="E7" s="8">
        <v>0.4791666666666667</v>
      </c>
      <c r="F7" s="10"/>
      <c r="G7" s="10" t="str">
        <f t="shared" si="1"/>
        <v/>
      </c>
      <c r="H7" s="10" t="str">
        <f t="shared" si="2"/>
        <v>Missed</v>
      </c>
    </row>
    <row r="8" ht="22.5" customHeight="1">
      <c r="A8" s="5" t="s">
        <v>53</v>
      </c>
      <c r="B8" s="1" t="s">
        <v>54</v>
      </c>
      <c r="C8" s="6" t="s">
        <v>22</v>
      </c>
      <c r="D8" s="7">
        <v>46030.0</v>
      </c>
      <c r="E8" s="8">
        <v>0.5</v>
      </c>
      <c r="F8" s="9">
        <v>0.5</v>
      </c>
      <c r="G8" s="10">
        <f t="shared" si="1"/>
        <v>0</v>
      </c>
      <c r="H8" s="10" t="str">
        <f t="shared" si="2"/>
        <v>On Time</v>
      </c>
    </row>
    <row r="9" ht="22.5" customHeight="1">
      <c r="A9" s="5" t="s">
        <v>55</v>
      </c>
      <c r="B9" s="1" t="s">
        <v>56</v>
      </c>
      <c r="C9" s="6" t="s">
        <v>25</v>
      </c>
      <c r="D9" s="7">
        <v>46031.0</v>
      </c>
      <c r="E9" s="8">
        <v>0.5208333333333334</v>
      </c>
      <c r="F9" s="9">
        <v>0.53125</v>
      </c>
      <c r="G9" s="10">
        <f t="shared" si="1"/>
        <v>15</v>
      </c>
      <c r="H9" s="10" t="str">
        <f t="shared" si="2"/>
        <v>Late</v>
      </c>
    </row>
    <row r="10" ht="22.5" customHeight="1">
      <c r="A10" s="5" t="s">
        <v>57</v>
      </c>
      <c r="B10" s="1" t="s">
        <v>58</v>
      </c>
      <c r="C10" s="6" t="s">
        <v>28</v>
      </c>
      <c r="D10" s="7">
        <v>46032.0</v>
      </c>
      <c r="E10" s="8">
        <v>0.041666666666666664</v>
      </c>
      <c r="F10" s="10"/>
      <c r="G10" s="11" t="str">
        <f t="shared" si="1"/>
        <v/>
      </c>
      <c r="H10" s="10" t="str">
        <f t="shared" si="2"/>
        <v>Missed</v>
      </c>
    </row>
    <row r="11" ht="22.5" customHeight="1">
      <c r="A11" s="5" t="s">
        <v>59</v>
      </c>
      <c r="B11" s="1" t="s">
        <v>60</v>
      </c>
      <c r="C11" s="6" t="s">
        <v>31</v>
      </c>
      <c r="D11" s="7">
        <v>46033.0</v>
      </c>
      <c r="E11" s="12" t="s">
        <v>61</v>
      </c>
      <c r="F11" s="9"/>
      <c r="G11" s="11" t="str">
        <f t="shared" si="1"/>
        <v/>
      </c>
      <c r="H11" s="10" t="str">
        <f t="shared" si="2"/>
        <v>Missed</v>
      </c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conditionalFormatting sqref="H2:H11">
    <cfRule type="containsText" dxfId="5" priority="1" operator="containsText" text="On Time">
      <formula>NOT(ISERROR(SEARCH(("On Time"),(H2))))</formula>
    </cfRule>
  </conditionalFormatting>
  <conditionalFormatting sqref="H2:H11">
    <cfRule type="containsText" dxfId="6" priority="2" operator="containsText" text="Late">
      <formula>NOT(ISERROR(SEARCH(("Late"),(H2))))</formula>
    </cfRule>
  </conditionalFormatting>
  <conditionalFormatting sqref="H2:H11">
    <cfRule type="containsText" dxfId="7" priority="3" operator="containsText" text="Missed">
      <formula>NOT(ISERROR(SEARCH(("Missed"),(H2))))</formula>
    </cfRule>
  </conditionalFormatting>
  <dataValidations>
    <dataValidation type="custom" allowBlank="1" showDropDown="1" sqref="E2:E11">
      <formula1>OR(TIMEVALUE(TEXT(E2, "hh:mm:ss"))=E2, AND(ISNUMBER(E2), LEFT(CELL("format", E2))="D"))</formula1>
    </dataValidation>
    <dataValidation type="list" allowBlank="1" showErrorMessage="1" sqref="C2:C11">
      <formula1>#REF!</formula1>
    </dataValidation>
    <dataValidation type="list" allowBlank="1" showErrorMessage="1" sqref="C12:C1000">
      <formula1>Table1[Doctor ID]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22.13"/>
    <col customWidth="1" min="3" max="3" width="16.0"/>
    <col customWidth="1" min="4" max="4" width="13.63"/>
    <col customWidth="1" min="5" max="5" width="18.0"/>
    <col customWidth="1" min="6" max="6" width="16.0"/>
  </cols>
  <sheetData>
    <row r="1" ht="22.5" customHeight="1">
      <c r="A1" s="1" t="s">
        <v>62</v>
      </c>
      <c r="B1" s="1" t="s">
        <v>36</v>
      </c>
      <c r="C1" s="1" t="s">
        <v>63</v>
      </c>
      <c r="D1" s="1" t="s">
        <v>64</v>
      </c>
      <c r="E1" s="1" t="s">
        <v>65</v>
      </c>
      <c r="F1" s="1" t="s">
        <v>66</v>
      </c>
    </row>
    <row r="2" ht="22.5" customHeight="1">
      <c r="A2" s="6" t="s">
        <v>41</v>
      </c>
      <c r="B2" s="14">
        <f>VLOOKUP(A2,Appointments!A:H,4,FALSE)</f>
        <v>46024</v>
      </c>
      <c r="C2" s="11" t="str">
        <f>VLOOKUP(A2,Appointments!A:H,2,FALSE)</f>
        <v>Ali Raza</v>
      </c>
      <c r="D2" s="11" t="str">
        <f>VLOOKUP(A2,Appointments!A:H,3,FALSE)</f>
        <v>D01</v>
      </c>
      <c r="E2" s="15">
        <f>VLOOKUP(D2,'Doctors Information'!A:D,4,FALSE)</f>
        <v>200</v>
      </c>
      <c r="F2" s="15">
        <f t="shared" ref="F2:F11" si="1">E2</f>
        <v>200</v>
      </c>
    </row>
    <row r="3" ht="22.5" customHeight="1">
      <c r="A3" s="6" t="s">
        <v>43</v>
      </c>
      <c r="B3" s="14">
        <f>VLOOKUP(A3,Appointments!A:H,4,FALSE)</f>
        <v>46025</v>
      </c>
      <c r="C3" s="11" t="str">
        <f>VLOOKUP(A3,Appointments!A:H,2,FALSE)</f>
        <v>Sara Khan</v>
      </c>
      <c r="D3" s="11" t="str">
        <f>VLOOKUP(A3,Appointments!A:H,3,FALSE)</f>
        <v>D02</v>
      </c>
      <c r="E3" s="15">
        <f>VLOOKUP(D3,'Doctors Information'!A:D,4,FALSE)</f>
        <v>250</v>
      </c>
      <c r="F3" s="15">
        <f t="shared" si="1"/>
        <v>250</v>
      </c>
    </row>
    <row r="4" ht="22.5" customHeight="1">
      <c r="A4" s="6" t="s">
        <v>45</v>
      </c>
      <c r="B4" s="14">
        <f>VLOOKUP(A4,Appointments!A:H,4,FALSE)</f>
        <v>46026</v>
      </c>
      <c r="C4" s="11" t="str">
        <f>VLOOKUP(A4,Appointments!A:H,2,FALSE)</f>
        <v>Ahmed Malik</v>
      </c>
      <c r="D4" s="11" t="str">
        <f>VLOOKUP(A4,Appointments!A:H,3,FALSE)</f>
        <v>D03</v>
      </c>
      <c r="E4" s="15">
        <f>VLOOKUP(D4,'Doctors Information'!A:D,4,FALSE)</f>
        <v>220</v>
      </c>
      <c r="F4" s="15">
        <f t="shared" si="1"/>
        <v>220</v>
      </c>
    </row>
    <row r="5" ht="22.5" customHeight="1">
      <c r="A5" s="6" t="s">
        <v>47</v>
      </c>
      <c r="B5" s="14">
        <f>VLOOKUP(A5,Appointments!A:H,4,FALSE)</f>
        <v>46027</v>
      </c>
      <c r="C5" s="11" t="str">
        <f>VLOOKUP(A5,Appointments!A:H,2,FALSE)</f>
        <v>Hina Sheikh</v>
      </c>
      <c r="D5" s="11" t="str">
        <f>VLOOKUP(A5,Appointments!A:H,3,FALSE)</f>
        <v>D04</v>
      </c>
      <c r="E5" s="15">
        <f>VLOOKUP(D5,'Doctors Information'!A:D,4,FALSE)</f>
        <v>180</v>
      </c>
      <c r="F5" s="15">
        <f t="shared" si="1"/>
        <v>180</v>
      </c>
    </row>
    <row r="6" ht="22.5" customHeight="1">
      <c r="A6" s="6" t="s">
        <v>49</v>
      </c>
      <c r="B6" s="14">
        <f>VLOOKUP(A6,Appointments!A:H,4,FALSE)</f>
        <v>46028</v>
      </c>
      <c r="C6" s="11" t="str">
        <f>VLOOKUP(A6,Appointments!A:H,2,FALSE)</f>
        <v>Usman Tariq</v>
      </c>
      <c r="D6" s="11" t="str">
        <f>VLOOKUP(A6,Appointments!A:H,3,FALSE)</f>
        <v>D05</v>
      </c>
      <c r="E6" s="15">
        <f>VLOOKUP(D6,'Doctors Information'!A:D,4,FALSE)</f>
        <v>210</v>
      </c>
      <c r="F6" s="15">
        <f t="shared" si="1"/>
        <v>210</v>
      </c>
    </row>
    <row r="7" ht="22.5" customHeight="1">
      <c r="A7" s="6" t="s">
        <v>51</v>
      </c>
      <c r="B7" s="14">
        <f>VLOOKUP(A7,Appointments!A:H,4,FALSE)</f>
        <v>46029</v>
      </c>
      <c r="C7" s="11" t="str">
        <f>VLOOKUP(A7,Appointments!A:H,2,FALSE)</f>
        <v>Ayesha Iqbal</v>
      </c>
      <c r="D7" s="11" t="str">
        <f>VLOOKUP(A7,Appointments!A:H,3,FALSE)</f>
        <v>D06</v>
      </c>
      <c r="E7" s="15">
        <f>VLOOKUP(D7,'Doctors Information'!A:D,4,FALSE)</f>
        <v>230</v>
      </c>
      <c r="F7" s="15">
        <f t="shared" si="1"/>
        <v>230</v>
      </c>
    </row>
    <row r="8" ht="22.5" customHeight="1">
      <c r="A8" s="6" t="s">
        <v>53</v>
      </c>
      <c r="B8" s="14">
        <f>VLOOKUP(A8,Appointments!A:H,4,FALSE)</f>
        <v>46030</v>
      </c>
      <c r="C8" s="11" t="str">
        <f>VLOOKUP(A8,Appointments!A:H,2,FALSE)</f>
        <v>Bilal Hussain</v>
      </c>
      <c r="D8" s="11" t="str">
        <f>VLOOKUP(A8,Appointments!A:H,3,FALSE)</f>
        <v>D07</v>
      </c>
      <c r="E8" s="15">
        <f>VLOOKUP(D8,'Doctors Information'!A:D,4,FALSE)</f>
        <v>190</v>
      </c>
      <c r="F8" s="15">
        <f t="shared" si="1"/>
        <v>190</v>
      </c>
    </row>
    <row r="9" ht="22.5" customHeight="1">
      <c r="A9" s="6" t="s">
        <v>55</v>
      </c>
      <c r="B9" s="14">
        <f>VLOOKUP(A9,Appointments!A:H,4,FALSE)</f>
        <v>46031</v>
      </c>
      <c r="C9" s="11" t="str">
        <f>VLOOKUP(A9,Appointments!A:H,2,FALSE)</f>
        <v>Fatima Noor</v>
      </c>
      <c r="D9" s="11" t="str">
        <f>VLOOKUP(A9,Appointments!A:H,3,FALSE)</f>
        <v>D08</v>
      </c>
      <c r="E9" s="15">
        <f>VLOOKUP(D9,'Doctors Information'!A:D,4,FALSE)</f>
        <v>205</v>
      </c>
      <c r="F9" s="15">
        <f t="shared" si="1"/>
        <v>205</v>
      </c>
    </row>
    <row r="10" ht="22.5" customHeight="1">
      <c r="A10" s="6" t="s">
        <v>57</v>
      </c>
      <c r="B10" s="14">
        <f>VLOOKUP(A10,Appointments!A:H,4,FALSE)</f>
        <v>46032</v>
      </c>
      <c r="C10" s="11" t="str">
        <f>VLOOKUP(A10,Appointments!A:H,2,FALSE)</f>
        <v>Hamza Ali</v>
      </c>
      <c r="D10" s="11" t="str">
        <f>VLOOKUP(A10,Appointments!A:H,3,FALSE)</f>
        <v>D09</v>
      </c>
      <c r="E10" s="15">
        <f>VLOOKUP(D10,'Doctors Information'!A:D,4,FALSE)</f>
        <v>170</v>
      </c>
      <c r="F10" s="15">
        <f t="shared" si="1"/>
        <v>170</v>
      </c>
    </row>
    <row r="11" ht="22.5" customHeight="1">
      <c r="A11" s="6" t="s">
        <v>59</v>
      </c>
      <c r="B11" s="14">
        <f>VLOOKUP(A11,Appointments!A:H,4,FALSE)</f>
        <v>46033</v>
      </c>
      <c r="C11" s="11" t="str">
        <f>VLOOKUP(A11,Appointments!A:H,2,FALSE)</f>
        <v>Zainab Shah</v>
      </c>
      <c r="D11" s="11" t="str">
        <f>VLOOKUP(A11,Appointments!A:H,3,FALSE)</f>
        <v>D10</v>
      </c>
      <c r="E11" s="15">
        <f>VLOOKUP(D11,'Doctors Information'!A:D,4,FALSE)</f>
        <v>240</v>
      </c>
      <c r="F11" s="15">
        <f t="shared" si="1"/>
        <v>240</v>
      </c>
    </row>
  </sheetData>
  <dataValidations>
    <dataValidation type="list" allowBlank="1" showErrorMessage="1" sqref="A2:A11">
      <formula1>#REF!</formula1>
    </dataValidation>
    <dataValidation type="custom" allowBlank="1" showDropDown="1" sqref="B2:B11">
      <formula1>OR(NOT(ISERROR(DATEVALUE(B2))), AND(ISNUMBER(B2), LEFT(CELL("format", B2))="D"))</formula1>
    </dataValidation>
    <dataValidation type="custom" allowBlank="1" showDropDown="1" sqref="E2:F1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5.88"/>
  </cols>
  <sheetData>
    <row r="1" ht="22.5" customHeight="1">
      <c r="A1" s="1" t="s">
        <v>67</v>
      </c>
      <c r="B1" s="1" t="s">
        <v>68</v>
      </c>
      <c r="C1" s="1" t="s">
        <v>69</v>
      </c>
    </row>
    <row r="2" ht="22.5" customHeight="1">
      <c r="A2" s="14">
        <f t="array" ref="A2:A12">UNIQUE(Billing!B2:B1000)</f>
        <v>46024</v>
      </c>
      <c r="B2" s="11">
        <f>COUNTIF(Billing!B:B,A2)</f>
        <v>1</v>
      </c>
      <c r="C2" s="11">
        <f>SUMIF(Billing!B:B,A2,Billing!F:F)</f>
        <v>200</v>
      </c>
    </row>
    <row r="3" ht="22.5" customHeight="1">
      <c r="A3" s="14">
        <v>46025.0</v>
      </c>
      <c r="B3" s="11">
        <f>COUNTIF(Billing!B:B,A3)</f>
        <v>1</v>
      </c>
      <c r="C3" s="11">
        <f>SUMIF(Billing!B:B,A3,Billing!F:F)</f>
        <v>250</v>
      </c>
    </row>
    <row r="4" ht="22.5" customHeight="1">
      <c r="A4" s="14">
        <v>46026.0</v>
      </c>
      <c r="B4" s="11">
        <f>COUNTIF(Billing!B:B,A4)</f>
        <v>1</v>
      </c>
      <c r="C4" s="11">
        <f>SUMIF(Billing!B:B,A4,Billing!F:F)</f>
        <v>220</v>
      </c>
    </row>
    <row r="5" ht="22.5" customHeight="1">
      <c r="A5" s="14">
        <v>46027.0</v>
      </c>
      <c r="B5" s="11">
        <f>COUNTIF(Billing!B:B,A5)</f>
        <v>1</v>
      </c>
      <c r="C5" s="11">
        <f>SUMIF(Billing!B:B,A5,Billing!F:F)</f>
        <v>180</v>
      </c>
    </row>
    <row r="6" ht="22.5" customHeight="1">
      <c r="A6" s="14">
        <v>46028.0</v>
      </c>
      <c r="B6" s="11">
        <f>COUNTIF(Billing!B:B,A6)</f>
        <v>1</v>
      </c>
      <c r="C6" s="11">
        <f>SUMIF(Billing!B:B,A6,Billing!F:F)</f>
        <v>210</v>
      </c>
    </row>
    <row r="7" ht="22.5" customHeight="1">
      <c r="A7" s="14">
        <v>46029.0</v>
      </c>
      <c r="B7" s="11">
        <f>COUNTIF(Billing!B:B,A7)</f>
        <v>1</v>
      </c>
      <c r="C7" s="11">
        <f>SUMIF(Billing!B:B,A7,Billing!F:F)</f>
        <v>230</v>
      </c>
    </row>
    <row r="8" ht="22.5" customHeight="1">
      <c r="A8" s="14">
        <v>46030.0</v>
      </c>
      <c r="B8" s="11">
        <f>COUNTIF(Billing!B:B,A8)</f>
        <v>1</v>
      </c>
      <c r="C8" s="11">
        <f>SUMIF(Billing!B:B,A8,Billing!F:F)</f>
        <v>190</v>
      </c>
    </row>
    <row r="9" ht="22.5" customHeight="1">
      <c r="A9" s="14">
        <v>46031.0</v>
      </c>
      <c r="B9" s="11">
        <f>COUNTIF(Billing!B:B,A9)</f>
        <v>1</v>
      </c>
      <c r="C9" s="11">
        <f>SUMIF(Billing!B:B,A9,Billing!F:F)</f>
        <v>205</v>
      </c>
    </row>
    <row r="10" ht="22.5" customHeight="1">
      <c r="A10" s="14">
        <v>46032.0</v>
      </c>
      <c r="B10" s="11">
        <f>COUNTIF(Billing!B:B,A10)</f>
        <v>1</v>
      </c>
      <c r="C10" s="11">
        <f>SUMIF(Billing!B:B,A10,Billing!F:F)</f>
        <v>170</v>
      </c>
    </row>
    <row r="11" ht="22.5" customHeight="1">
      <c r="A11" s="14">
        <v>46033.0</v>
      </c>
      <c r="B11" s="11">
        <f>COUNTIF(Billing!B:B,A11)</f>
        <v>1</v>
      </c>
      <c r="C11" s="11">
        <f>SUMIF(Billing!B:B,A11,Billing!F:F)</f>
        <v>240</v>
      </c>
    </row>
    <row r="12">
      <c r="A12" s="13"/>
    </row>
  </sheetData>
  <dataValidations>
    <dataValidation type="custom" allowBlank="1" showDropDown="1" sqref="A2:A1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75"/>
    <col customWidth="1" min="3" max="3" width="15.88"/>
  </cols>
  <sheetData>
    <row r="1" ht="22.5" customHeight="1">
      <c r="A1" s="1" t="s">
        <v>1</v>
      </c>
      <c r="B1" s="1" t="s">
        <v>68</v>
      </c>
      <c r="C1" s="1" t="s">
        <v>69</v>
      </c>
    </row>
    <row r="2" ht="22.5" customHeight="1">
      <c r="A2" s="11" t="str">
        <f>'Doctors Information'!B2:B1000</f>
        <v>Dr. Ali Khan</v>
      </c>
      <c r="B2" s="11">
        <f t="array" ref="B2">COUNTIF(Billing!D:D, XLOOKUP(A2,'Doctors Information'!B:B,'Doctors Information'!A:A))
</f>
        <v>1</v>
      </c>
      <c r="C2" s="11">
        <f t="array" ref="C2">SUMIF(Billing!D:D, XLOOKUP(A2,'Doctors Information'!B:B,'Doctors Information'!A:A), Billing!F:F)</f>
        <v>200</v>
      </c>
    </row>
    <row r="3" ht="22.5" customHeight="1">
      <c r="A3" s="11" t="str">
        <f>'Doctors Information'!B3:B1000</f>
        <v>Dr. Sara Ahmed</v>
      </c>
      <c r="B3" s="11">
        <f t="array" ref="B3">COUNTIF(Billing!D:D, XLOOKUP(A2,'Doctors Information'!B:B,'Doctors Information'!A:A))
</f>
        <v>1</v>
      </c>
      <c r="C3" s="11">
        <f t="array" ref="C3">SUMIF(Billing!D:D, XLOOKUP(A3,'Doctors Information'!B:B,'Doctors Information'!A:A), Billing!F:F)</f>
        <v>250</v>
      </c>
    </row>
    <row r="4" ht="22.5" customHeight="1">
      <c r="A4" s="11" t="str">
        <f>'Doctors Information'!B4:B1000</f>
        <v>Dr. Usman Malik</v>
      </c>
      <c r="B4" s="11">
        <f t="array" ref="B4">COUNTIF(Billing!D:D, XLOOKUP(A3,'Doctors Information'!B:B,'Doctors Information'!A:A))
</f>
        <v>1</v>
      </c>
      <c r="C4" s="11">
        <f t="array" ref="C4">SUMIF(Billing!D:D, XLOOKUP(A4,'Doctors Information'!B:B,'Doctors Information'!A:A), Billing!F:F)</f>
        <v>220</v>
      </c>
    </row>
    <row r="5" ht="22.5" customHeight="1">
      <c r="A5" s="11" t="str">
        <f>'Doctors Information'!B5:B1000</f>
        <v>Dr. Hina Tariq</v>
      </c>
      <c r="B5" s="11">
        <f t="array" ref="B5">COUNTIF(Billing!D:D, XLOOKUP(A4,'Doctors Information'!B:B,'Doctors Information'!A:A))
</f>
        <v>1</v>
      </c>
      <c r="C5" s="11">
        <f t="array" ref="C5">SUMIF(Billing!D:D, XLOOKUP(A5,'Doctors Information'!B:B,'Doctors Information'!A:A), Billing!F:F)</f>
        <v>180</v>
      </c>
    </row>
    <row r="6" ht="22.5" customHeight="1">
      <c r="A6" s="11" t="str">
        <f>'Doctors Information'!B6:B1000</f>
        <v>Dr. Bilal Sheikh</v>
      </c>
      <c r="B6" s="11">
        <f t="array" ref="B6">COUNTIF(Billing!D:D, XLOOKUP(A5,'Doctors Information'!B:B,'Doctors Information'!A:A))
</f>
        <v>1</v>
      </c>
      <c r="C6" s="11">
        <f t="array" ref="C6">SUMIF(Billing!D:D, XLOOKUP(A6,'Doctors Information'!B:B,'Doctors Information'!A:A), Billing!F:F)</f>
        <v>210</v>
      </c>
    </row>
    <row r="7" ht="22.5" customHeight="1">
      <c r="A7" s="11" t="str">
        <f>'Doctors Information'!B7:B1000</f>
        <v>Dr. Ayesha Noor</v>
      </c>
      <c r="B7" s="11">
        <f t="array" ref="B7">COUNTIF(Billing!D:D, XLOOKUP(A6,'Doctors Information'!B:B,'Doctors Information'!A:A))
</f>
        <v>1</v>
      </c>
      <c r="C7" s="11">
        <f t="array" ref="C7">SUMIF(Billing!D:D, XLOOKUP(A7,'Doctors Information'!B:B,'Doctors Information'!A:A), Billing!F:F)</f>
        <v>230</v>
      </c>
    </row>
    <row r="8" ht="22.5" customHeight="1">
      <c r="A8" s="11" t="str">
        <f>'Doctors Information'!B8:B1000</f>
        <v>Dr. Hamza Qureshi</v>
      </c>
      <c r="B8" s="11">
        <f t="array" ref="B8">COUNTIF(Billing!D:D, XLOOKUP(A7,'Doctors Information'!B:B,'Doctors Information'!A:A))
</f>
        <v>1</v>
      </c>
      <c r="C8" s="11">
        <f t="array" ref="C8">SUMIF(Billing!D:D, XLOOKUP(A8,'Doctors Information'!B:B,'Doctors Information'!A:A), Billing!F:F)</f>
        <v>190</v>
      </c>
    </row>
    <row r="9" ht="22.5" customHeight="1">
      <c r="A9" s="11" t="str">
        <f>'Doctors Information'!B9:B1000</f>
        <v>Dr. Fatima Zahra</v>
      </c>
      <c r="B9" s="11">
        <f t="array" ref="B9">COUNTIF(Billing!D:D, XLOOKUP(A8,'Doctors Information'!B:B,'Doctors Information'!A:A))
</f>
        <v>1</v>
      </c>
      <c r="C9" s="11">
        <f t="array" ref="C9">SUMIF(Billing!D:D, XLOOKUP(A9,'Doctors Information'!B:B,'Doctors Information'!A:A), Billing!F:F)</f>
        <v>205</v>
      </c>
    </row>
    <row r="10" ht="22.5" customHeight="1">
      <c r="A10" s="11" t="str">
        <f>'Doctors Information'!B10:B1000</f>
        <v>Dr. Imran Shah</v>
      </c>
      <c r="B10" s="11">
        <f t="array" ref="B10">COUNTIF(Billing!D:D, XLOOKUP(A9,'Doctors Information'!B:B,'Doctors Information'!A:A))
</f>
        <v>1</v>
      </c>
      <c r="C10" s="11">
        <f t="array" ref="C10">SUMIF(Billing!D:D, XLOOKUP(A10,'Doctors Information'!B:B,'Doctors Information'!A:A), Billing!F:F)</f>
        <v>170</v>
      </c>
    </row>
    <row r="11" ht="22.5" customHeight="1">
      <c r="A11" s="11" t="str">
        <f>'Doctors Information'!B11:B1000</f>
        <v>Dr. Sana Iqbal</v>
      </c>
      <c r="B11" s="11">
        <f t="array" ref="B11">COUNTIF(Billing!D:D, XLOOKUP(A10,'Doctors Information'!B:B,'Doctors Information'!A:A))
</f>
        <v>1</v>
      </c>
      <c r="C11" s="11">
        <f t="array" ref="C11">SUMIF(Billing!D:D, XLOOKUP(A11,'Doctors Information'!B:B,'Doctors Information'!A:A), Billing!F:F)</f>
        <v>240</v>
      </c>
    </row>
  </sheetData>
  <drawing r:id="rId1"/>
  <tableParts count="1">
    <tablePart r:id="rId3"/>
  </tableParts>
</worksheet>
</file>